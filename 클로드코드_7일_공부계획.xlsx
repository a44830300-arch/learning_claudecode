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부계획" sheetId="1" state="visible" r:id="rId3"/>
    <sheet name="진도요약" sheetId="2" state="visible" r:id="rId4"/>
  </sheets>
  <definedNames>
    <definedName function="false" hidden="false" localSheetId="0" name="_xlnm.Print_Titles" vbProcedure="false">공부계획!$5:$5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WenQuanYi Zen Hei"/>
            <family val="2"/>
          </rPr>
          <t xml:space="preserve">여기를 바꾸면 모든 날짜가 따라 바뀌어요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기본값은 </t>
        </r>
        <r>
          <rPr>
            <sz val="10"/>
            <rFont val="Arial"/>
            <family val="2"/>
          </rPr>
          <t xml:space="preserve">2026-10-26(</t>
        </r>
        <r>
          <rPr>
            <sz val="10"/>
            <rFont val="WenQuanYi Zen Hei"/>
            <family val="2"/>
          </rPr>
          <t xml:space="preserve">월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로 임의로 넣었어요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<sst xmlns="http://schemas.openxmlformats.org/spreadsheetml/2006/main" count="95" uniqueCount="81">
  <si>
    <r>
      <rPr>
        <b val="true"/>
        <sz val="16"/>
        <color rgb="FF1F3A5F"/>
        <rFont val="WenQuanYi Zen Hei"/>
        <family val="2"/>
      </rPr>
      <t xml:space="preserve">클로드코드 </t>
    </r>
    <r>
      <rPr>
        <b val="true"/>
        <sz val="16"/>
        <color rgb="FF1F3A5F"/>
        <rFont val="맑은 고딕"/>
        <family val="0"/>
        <charset val="1"/>
      </rPr>
      <t xml:space="preserve">7</t>
    </r>
    <r>
      <rPr>
        <b val="true"/>
        <sz val="16"/>
        <color rgb="FF1F3A5F"/>
        <rFont val="WenQuanYi Zen Hei"/>
        <family val="2"/>
      </rPr>
      <t xml:space="preserve">일 공부 계획표</t>
    </r>
  </si>
  <si>
    <r>
      <rPr>
        <sz val="10"/>
        <color rgb="FF5A6472"/>
        <rFont val="WenQuanYi Zen Hei"/>
        <family val="2"/>
      </rPr>
      <t xml:space="preserve">교재</t>
    </r>
    <r>
      <rPr>
        <sz val="10"/>
        <color rgb="FF5A6472"/>
        <rFont val="맑은 고딕"/>
        <family val="0"/>
        <charset val="1"/>
      </rPr>
      <t xml:space="preserve">: </t>
    </r>
    <r>
      <rPr>
        <sz val="10"/>
        <color rgb="FF5A6472"/>
        <rFont val="WenQuanYi Zen Hei"/>
        <family val="2"/>
      </rPr>
      <t xml:space="preserve">유튜브 영상 </t>
    </r>
    <r>
      <rPr>
        <sz val="10"/>
        <color rgb="FF5A6472"/>
        <rFont val="맑은 고딕"/>
        <family val="0"/>
        <charset val="1"/>
      </rPr>
      <t xml:space="preserve">https://www.youtube.com/watch?v=2R-kUFv7GZg · 1·2</t>
    </r>
    <r>
      <rPr>
        <sz val="10"/>
        <color rgb="FF5A6472"/>
        <rFont val="WenQuanYi Zen Hei"/>
        <family val="2"/>
      </rPr>
      <t xml:space="preserve">단계 완료</t>
    </r>
    <r>
      <rPr>
        <sz val="10"/>
        <color rgb="FF5A6472"/>
        <rFont val="맑은 고딕"/>
        <family val="0"/>
        <charset val="1"/>
      </rPr>
      <t xml:space="preserve">, 3</t>
    </r>
    <r>
      <rPr>
        <sz val="10"/>
        <color rgb="FF5A6472"/>
        <rFont val="WenQuanYi Zen Hei"/>
        <family val="2"/>
      </rPr>
      <t xml:space="preserve">단계부터 </t>
    </r>
    <r>
      <rPr>
        <sz val="10"/>
        <color rgb="FF5A6472"/>
        <rFont val="맑은 고딕"/>
        <family val="0"/>
        <charset val="1"/>
      </rPr>
      <t xml:space="preserve">· </t>
    </r>
    <r>
      <rPr>
        <sz val="10"/>
        <color rgb="FF5A6472"/>
        <rFont val="WenQuanYi Zen Hei"/>
        <family val="2"/>
      </rPr>
      <t xml:space="preserve">하루 </t>
    </r>
    <r>
      <rPr>
        <sz val="10"/>
        <color rgb="FF5A6472"/>
        <rFont val="맑은 고딕"/>
        <family val="0"/>
        <charset val="1"/>
      </rPr>
      <t xml:space="preserve">60</t>
    </r>
    <r>
      <rPr>
        <sz val="10"/>
        <color rgb="FF5A6472"/>
        <rFont val="WenQuanYi Zen Hei"/>
        <family val="2"/>
      </rPr>
      <t xml:space="preserve">분</t>
    </r>
  </si>
  <si>
    <t xml:space="preserve">시작 날짜</t>
  </si>
  <si>
    <r>
      <rPr>
        <sz val="10"/>
        <color rgb="FF5A6472"/>
        <rFont val="WenQuanYi Zen Hei"/>
        <family val="2"/>
      </rPr>
      <t xml:space="preserve">사용법</t>
    </r>
    <r>
      <rPr>
        <sz val="10"/>
        <color rgb="FF5A6472"/>
        <rFont val="맑은 고딕"/>
        <family val="0"/>
        <charset val="1"/>
      </rPr>
      <t xml:space="preserve">: </t>
    </r>
    <r>
      <rPr>
        <sz val="10"/>
        <color rgb="FF5A6472"/>
        <rFont val="WenQuanYi Zen Hei"/>
        <family val="2"/>
      </rPr>
      <t xml:space="preserve">노란 칸</t>
    </r>
    <r>
      <rPr>
        <sz val="10"/>
        <color rgb="FF5A6472"/>
        <rFont val="맑은 고딕"/>
        <family val="0"/>
        <charset val="1"/>
      </rPr>
      <t xml:space="preserve">(</t>
    </r>
    <r>
      <rPr>
        <sz val="10"/>
        <color rgb="FF5A6472"/>
        <rFont val="WenQuanYi Zen Hei"/>
        <family val="2"/>
      </rPr>
      <t xml:space="preserve">시작 날짜</t>
    </r>
    <r>
      <rPr>
        <sz val="10"/>
        <color rgb="FF5A6472"/>
        <rFont val="맑은 고딕"/>
        <family val="0"/>
        <charset val="1"/>
      </rPr>
      <t xml:space="preserve">, </t>
    </r>
    <r>
      <rPr>
        <sz val="10"/>
        <color rgb="FF5A6472"/>
        <rFont val="WenQuanYi Zen Hei"/>
        <family val="2"/>
      </rPr>
      <t xml:space="preserve">완료</t>
    </r>
    <r>
      <rPr>
        <sz val="10"/>
        <color rgb="FF5A6472"/>
        <rFont val="맑은 고딕"/>
        <family val="0"/>
        <charset val="1"/>
      </rPr>
      <t xml:space="preserve">, </t>
    </r>
    <r>
      <rPr>
        <sz val="10"/>
        <color rgb="FF5A6472"/>
        <rFont val="WenQuanYi Zen Hei"/>
        <family val="2"/>
      </rPr>
      <t xml:space="preserve">메모</t>
    </r>
    <r>
      <rPr>
        <sz val="10"/>
        <color rgb="FF5A6472"/>
        <rFont val="맑은 고딕"/>
        <family val="0"/>
        <charset val="1"/>
      </rPr>
      <t xml:space="preserve">)</t>
    </r>
    <r>
      <rPr>
        <sz val="10"/>
        <color rgb="FF5A6472"/>
        <rFont val="WenQuanYi Zen Hei"/>
        <family val="2"/>
      </rPr>
      <t xml:space="preserve">만 고치세요</t>
    </r>
    <r>
      <rPr>
        <sz val="10"/>
        <color rgb="FF5A6472"/>
        <rFont val="맑은 고딕"/>
        <family val="0"/>
        <charset val="1"/>
      </rPr>
      <t xml:space="preserve">. </t>
    </r>
    <r>
      <rPr>
        <sz val="10"/>
        <color rgb="FF5A6472"/>
        <rFont val="WenQuanYi Zen Hei"/>
        <family val="2"/>
      </rPr>
      <t xml:space="preserve">완료 칸에서 </t>
    </r>
    <r>
      <rPr>
        <sz val="10"/>
        <color rgb="FF5A6472"/>
        <rFont val="맑은 고딕"/>
        <family val="0"/>
        <charset val="1"/>
      </rPr>
      <t xml:space="preserve">O</t>
    </r>
    <r>
      <rPr>
        <sz val="10"/>
        <color rgb="FF5A6472"/>
        <rFont val="WenQuanYi Zen Hei"/>
        <family val="2"/>
      </rPr>
      <t xml:space="preserve">를 고르면 초록색으로 바뀌어요</t>
    </r>
    <r>
      <rPr>
        <sz val="10"/>
        <color rgb="FF5A6472"/>
        <rFont val="맑은 고딕"/>
        <family val="0"/>
        <charset val="1"/>
      </rPr>
      <t xml:space="preserve">.</t>
    </r>
  </si>
  <si>
    <t xml:space="preserve">일차</t>
  </si>
  <si>
    <t xml:space="preserve">날짜</t>
  </si>
  <si>
    <t xml:space="preserve">단계</t>
  </si>
  <si>
    <t xml:space="preserve">주제</t>
  </si>
  <si>
    <t xml:space="preserve">영상 구간</t>
  </si>
  <si>
    <t xml:space="preserve">할 일</t>
  </si>
  <si>
    <r>
      <rPr>
        <b val="true"/>
        <sz val="11"/>
        <color rgb="FFFFFFFF"/>
        <rFont val="WenQuanYi Zen Hei"/>
        <family val="2"/>
      </rPr>
      <t xml:space="preserve">시간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</si>
  <si>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완료</t>
  </si>
  <si>
    <t xml:space="preserve">메모</t>
  </si>
  <si>
    <r>
      <rPr>
        <sz val="11"/>
        <rFont val="맑은 고딕"/>
        <family val="0"/>
        <charset val="1"/>
      </rPr>
      <t xml:space="preserve">1</t>
    </r>
    <r>
      <rPr>
        <sz val="11"/>
        <rFont val="WenQuanYi Zen Hei"/>
        <family val="2"/>
      </rPr>
      <t xml:space="preserve">일차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</si>
  <si>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WenQuanYi Zen Hei"/>
        <family val="2"/>
      </rPr>
      <t xml:space="preserve">단계</t>
    </r>
  </si>
  <si>
    <t xml:space="preserve">CLAUDE.md</t>
  </si>
  <si>
    <r>
      <rPr>
        <sz val="11"/>
        <rFont val="맑은 고딕"/>
        <family val="0"/>
        <charset val="1"/>
      </rPr>
      <t xml:space="preserve">15:04~ (</t>
    </r>
    <r>
      <rPr>
        <sz val="11"/>
        <rFont val="WenQuanYi Zen Hei"/>
        <family val="2"/>
      </rPr>
      <t xml:space="preserve">약 </t>
    </r>
    <r>
      <rPr>
        <sz val="11"/>
        <rFont val="맑은 고딕"/>
        <family val="0"/>
        <charset val="1"/>
      </rPr>
      <t xml:space="preserve">7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</si>
  <si>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CLAUDE.md </t>
    </r>
    <r>
      <rPr>
        <sz val="11"/>
        <rFont val="WenQuanYi Zen Hei"/>
        <family val="2"/>
      </rPr>
      <t xml:space="preserve">부분</t>
    </r>
  </si>
  <si>
    <r>
      <rPr>
        <sz val="11"/>
        <rFont val="맑은 고딕"/>
        <family val="0"/>
        <charset val="1"/>
      </rPr>
      <t xml:space="preserve">2</t>
    </r>
    <r>
      <rPr>
        <sz val="11"/>
        <rFont val="WenQuanYi Zen Hei"/>
        <family val="2"/>
      </rPr>
      <t xml:space="preserve">단계 복습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플랜 모드로 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이 저장소에 뭘 만들지</t>
    </r>
    <r>
      <rPr>
        <sz val="11"/>
        <rFont val="맑은 고딕"/>
        <family val="0"/>
        <charset val="1"/>
      </rPr>
      <t xml:space="preserve">' </t>
    </r>
    <r>
      <rPr>
        <sz val="11"/>
        <rFont val="WenQuanYi Zen Hei"/>
        <family val="2"/>
      </rPr>
      <t xml:space="preserve">계획만 세워 보기</t>
    </r>
  </si>
  <si>
    <r>
      <rPr>
        <sz val="11"/>
        <rFont val="맑은 고딕"/>
        <family val="0"/>
        <charset val="1"/>
      </rPr>
      <t xml:space="preserve">/init </t>
    </r>
    <r>
      <rPr>
        <sz val="11"/>
        <rFont val="WenQuanYi Zen Hei"/>
        <family val="2"/>
      </rPr>
      <t xml:space="preserve">으로 이 저장소의 </t>
    </r>
    <r>
      <rPr>
        <sz val="11"/>
        <rFont val="맑은 고딕"/>
        <family val="0"/>
        <charset val="1"/>
      </rPr>
      <t xml:space="preserve">CLAUDE.md </t>
    </r>
    <r>
      <rPr>
        <sz val="11"/>
        <rFont val="WenQuanYi Zen Hei"/>
        <family val="2"/>
      </rPr>
      <t xml:space="preserve">만들기</t>
    </r>
  </si>
  <si>
    <r>
      <rPr>
        <sz val="11"/>
        <rFont val="맑은 고딕"/>
        <family val="0"/>
        <charset val="1"/>
      </rPr>
      <t xml:space="preserve">CLAUDE.md</t>
    </r>
    <r>
      <rPr>
        <sz val="11"/>
        <rFont val="WenQuanYi Zen Hei"/>
        <family val="2"/>
      </rPr>
      <t xml:space="preserve">에 나만의 규칙 </t>
    </r>
    <r>
      <rPr>
        <sz val="11"/>
        <rFont val="맑은 고딕"/>
        <family val="0"/>
        <charset val="1"/>
      </rPr>
      <t xml:space="preserve">3</t>
    </r>
    <r>
      <rPr>
        <sz val="11"/>
        <rFont val="WenQuanYi Zen Hei"/>
        <family val="2"/>
      </rPr>
      <t xml:space="preserve">개 넣고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답변은 한국어로</t>
    </r>
    <r>
      <rPr>
        <sz val="11"/>
        <rFont val="맑은 고딕"/>
        <family val="0"/>
        <charset val="1"/>
      </rPr>
      <t xml:space="preserve">) </t>
    </r>
    <r>
      <rPr>
        <sz val="11"/>
        <rFont val="WenQuanYi Zen Hei"/>
        <family val="2"/>
      </rPr>
      <t xml:space="preserve">효과 확인하기</t>
    </r>
  </si>
  <si>
    <r>
      <rPr>
        <sz val="11"/>
        <rFont val="맑은 고딕"/>
        <family val="0"/>
        <charset val="1"/>
      </rPr>
      <t xml:space="preserve">2</t>
    </r>
    <r>
      <rPr>
        <sz val="11"/>
        <rFont val="WenQuanYi Zen Hei"/>
        <family val="2"/>
      </rPr>
      <t xml:space="preserve">일차</t>
    </r>
  </si>
  <si>
    <r>
      <rPr>
        <sz val="11"/>
        <rFont val="WenQuanYi Zen Hei"/>
        <family val="2"/>
      </rPr>
      <t xml:space="preserve">스킬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문서 파일</t>
    </r>
  </si>
  <si>
    <r>
      <rPr>
        <sz val="11"/>
        <rFont val="맑은 고딕"/>
        <family val="0"/>
        <charset val="1"/>
      </rPr>
      <t xml:space="preserve">~28:05 (</t>
    </r>
    <r>
      <rPr>
        <sz val="11"/>
        <rFont val="WenQuanYi Zen Hei"/>
        <family val="2"/>
      </rPr>
      <t xml:space="preserve">약 </t>
    </r>
    <r>
      <rPr>
        <sz val="11"/>
        <rFont val="맑은 고딕"/>
        <family val="0"/>
        <charset val="1"/>
      </rPr>
      <t xml:space="preserve">6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</si>
  <si>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스킬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문서 파일 부분</t>
    </r>
  </si>
  <si>
    <r>
      <rPr>
        <sz val="11"/>
        <rFont val="WenQuanYi Zen Hei"/>
        <family val="2"/>
      </rPr>
      <t xml:space="preserve">자주 시킬 일 하나를 스킬로 만들기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'</t>
    </r>
    <r>
      <rPr>
        <sz val="11"/>
        <rFont val="WenQuanYi Zen Hei"/>
        <family val="2"/>
      </rPr>
      <t xml:space="preserve">오늘 배운 것 정리</t>
    </r>
    <r>
      <rPr>
        <sz val="11"/>
        <rFont val="맑은 고딕"/>
        <family val="0"/>
        <charset val="1"/>
      </rPr>
      <t xml:space="preserve">')</t>
    </r>
  </si>
  <si>
    <r>
      <rPr>
        <sz val="11"/>
        <rFont val="맑은 고딕"/>
        <family val="0"/>
        <charset val="1"/>
      </rPr>
      <t xml:space="preserve">1~3</t>
    </r>
    <r>
      <rPr>
        <sz val="11"/>
        <rFont val="WenQuanYi Zen Hei"/>
        <family val="2"/>
      </rPr>
      <t xml:space="preserve">단계 요약 노트를 </t>
    </r>
    <r>
      <rPr>
        <sz val="11"/>
        <rFont val="맑은 고딕"/>
        <family val="0"/>
        <charset val="1"/>
      </rPr>
      <t xml:space="preserve">Word</t>
    </r>
    <r>
      <rPr>
        <sz val="11"/>
        <rFont val="WenQuanYi Zen Hei"/>
        <family val="2"/>
      </rPr>
      <t xml:space="preserve">나 </t>
    </r>
    <r>
      <rPr>
        <sz val="11"/>
        <rFont val="맑은 고딕"/>
        <family val="0"/>
        <charset val="1"/>
      </rPr>
      <t xml:space="preserve">PDF </t>
    </r>
    <r>
      <rPr>
        <sz val="11"/>
        <rFont val="WenQuanYi Zen Hei"/>
        <family val="2"/>
      </rPr>
      <t xml:space="preserve">파일로 만들게 하기</t>
    </r>
  </si>
  <si>
    <t xml:space="preserve">오늘 배운 것 한 줄 메모</t>
  </si>
  <si>
    <r>
      <rPr>
        <sz val="11"/>
        <rFont val="맑은 고딕"/>
        <family val="0"/>
        <charset val="1"/>
      </rPr>
      <t xml:space="preserve">3</t>
    </r>
    <r>
      <rPr>
        <sz val="11"/>
        <rFont val="WenQuanYi Zen Hei"/>
        <family val="2"/>
      </rPr>
      <t xml:space="preserve">일차</t>
    </r>
  </si>
  <si>
    <r>
      <rPr>
        <sz val="11"/>
        <rFont val="맑은 고딕"/>
        <family val="0"/>
        <charset val="1"/>
      </rPr>
      <t xml:space="preserve">4</t>
    </r>
    <r>
      <rPr>
        <sz val="11"/>
        <rFont val="WenQuanYi Zen Hei"/>
        <family val="2"/>
      </rPr>
      <t xml:space="preserve">단계</t>
    </r>
  </si>
  <si>
    <r>
      <rPr>
        <sz val="11"/>
        <rFont val="WenQuanYi Zen Hei"/>
        <family val="2"/>
      </rPr>
      <t xml:space="preserve">커넥터</t>
    </r>
    <r>
      <rPr>
        <sz val="11"/>
        <rFont val="맑은 고딕"/>
        <family val="0"/>
        <charset val="1"/>
      </rPr>
      <t xml:space="preserve">·API·</t>
    </r>
    <r>
      <rPr>
        <sz val="11"/>
        <rFont val="WenQuanYi Zen Hei"/>
        <family val="2"/>
      </rPr>
      <t xml:space="preserve">조사</t>
    </r>
  </si>
  <si>
    <r>
      <rPr>
        <sz val="11"/>
        <rFont val="맑은 고딕"/>
        <family val="0"/>
        <charset val="1"/>
      </rPr>
      <t xml:space="preserve">28:05~39:57 (12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</si>
  <si>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4</t>
    </r>
    <r>
      <rPr>
        <sz val="11"/>
        <rFont val="WenQuanYi Zen Hei"/>
        <family val="2"/>
      </rPr>
      <t xml:space="preserve">단계 전체</t>
    </r>
  </si>
  <si>
    <r>
      <rPr>
        <sz val="11"/>
        <rFont val="WenQuanYi Zen Hei"/>
        <family val="2"/>
      </rPr>
      <t xml:space="preserve">커넥터 써 보기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이 계획표를 구글 캘린더나 </t>
    </r>
    <r>
      <rPr>
        <sz val="11"/>
        <rFont val="맑은 고딕"/>
        <family val="0"/>
        <charset val="1"/>
      </rPr>
      <t xml:space="preserve">Todoist</t>
    </r>
    <r>
      <rPr>
        <sz val="11"/>
        <rFont val="WenQuanYi Zen Hei"/>
        <family val="2"/>
      </rPr>
      <t xml:space="preserve">에 넣기</t>
    </r>
  </si>
  <si>
    <r>
      <rPr>
        <sz val="11"/>
        <rFont val="맑은 고딕"/>
        <family val="0"/>
        <charset val="1"/>
      </rPr>
      <t xml:space="preserve">API </t>
    </r>
    <r>
      <rPr>
        <sz val="11"/>
        <rFont val="WenQuanYi Zen Hei"/>
        <family val="2"/>
      </rPr>
      <t xml:space="preserve">키가 뭔지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어디에 보관해야 안전한지 정리하기</t>
    </r>
  </si>
  <si>
    <r>
      <rPr>
        <sz val="11"/>
        <rFont val="WenQuanYi Zen Hei"/>
        <family val="2"/>
      </rPr>
      <t xml:space="preserve">관심 주제로 웹 조사시키고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출처 </t>
    </r>
    <r>
      <rPr>
        <sz val="11"/>
        <rFont val="맑은 고딕"/>
        <family val="0"/>
        <charset val="1"/>
      </rPr>
      <t xml:space="preserve">2</t>
    </r>
    <r>
      <rPr>
        <sz val="11"/>
        <rFont val="WenQuanYi Zen Hei"/>
        <family val="2"/>
      </rPr>
      <t xml:space="preserve">개 직접 열어 확인하기</t>
    </r>
  </si>
  <si>
    <r>
      <rPr>
        <sz val="11"/>
        <rFont val="맑은 고딕"/>
        <family val="0"/>
        <charset val="1"/>
      </rPr>
      <t xml:space="preserve">4</t>
    </r>
    <r>
      <rPr>
        <sz val="11"/>
        <rFont val="WenQuanYi Zen Hei"/>
        <family val="2"/>
      </rPr>
      <t xml:space="preserve">일차</t>
    </r>
  </si>
  <si>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단계</t>
    </r>
  </si>
  <si>
    <r>
      <rPr>
        <sz val="11"/>
        <rFont val="WenQuanYi Zen Hei"/>
        <family val="2"/>
      </rPr>
      <t xml:space="preserve">에이전트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훅</t>
    </r>
  </si>
  <si>
    <r>
      <rPr>
        <sz val="11"/>
        <rFont val="맑은 고딕"/>
        <family val="0"/>
        <charset val="1"/>
      </rPr>
      <t xml:space="preserve">39:57~45:52 (6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</si>
  <si>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5</t>
    </r>
    <r>
      <rPr>
        <sz val="11"/>
        <rFont val="WenQuanYi Zen Hei"/>
        <family val="2"/>
      </rPr>
      <t xml:space="preserve">단계 전체</t>
    </r>
  </si>
  <si>
    <r>
      <rPr>
        <sz val="11"/>
        <rFont val="WenQuanYi Zen Hei"/>
        <family val="2"/>
      </rPr>
      <t xml:space="preserve">서브에이전트 하나 만들기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내 글을 검토하는 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리뷰어</t>
    </r>
    <r>
      <rPr>
        <sz val="11"/>
        <rFont val="맑은 고딕"/>
        <family val="0"/>
        <charset val="1"/>
      </rPr>
      <t xml:space="preserve">')</t>
    </r>
  </si>
  <si>
    <r>
      <rPr>
        <sz val="11"/>
        <rFont val="WenQuanYi Zen Hei"/>
        <family val="2"/>
      </rPr>
      <t xml:space="preserve">훅 하나 설정하기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작업이 끝나면 알림 받기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</si>
  <si>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일차</t>
    </r>
  </si>
  <si>
    <r>
      <rPr>
        <sz val="11"/>
        <rFont val="맑은 고딕"/>
        <family val="0"/>
        <charset val="1"/>
      </rPr>
      <t xml:space="preserve">6</t>
    </r>
    <r>
      <rPr>
        <sz val="11"/>
        <rFont val="WenQuanYi Zen Hei"/>
        <family val="2"/>
      </rPr>
      <t xml:space="preserve">단계</t>
    </r>
  </si>
  <si>
    <r>
      <rPr>
        <sz val="11"/>
        <rFont val="WenQuanYi Zen Hei"/>
        <family val="2"/>
      </rPr>
      <t xml:space="preserve">디자인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앱 만들기</t>
    </r>
  </si>
  <si>
    <r>
      <rPr>
        <sz val="11"/>
        <rFont val="맑은 고딕"/>
        <family val="0"/>
        <charset val="1"/>
      </rPr>
      <t xml:space="preserve">45:52~ (</t>
    </r>
    <r>
      <rPr>
        <sz val="11"/>
        <rFont val="WenQuanYi Zen Hei"/>
        <family val="2"/>
      </rPr>
      <t xml:space="preserve">약 </t>
    </r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</si>
  <si>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디자인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앱 만들기 부분</t>
    </r>
  </si>
  <si>
    <r>
      <rPr>
        <sz val="11"/>
        <rFont val="WenQuanYi Zen Hei"/>
        <family val="2"/>
      </rPr>
      <t xml:space="preserve">플랜 모드로 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공부 진도 체크 앱</t>
    </r>
    <r>
      <rPr>
        <sz val="11"/>
        <rFont val="맑은 고딕"/>
        <family val="0"/>
        <charset val="1"/>
      </rPr>
      <t xml:space="preserve">' </t>
    </r>
    <r>
      <rPr>
        <sz val="11"/>
        <rFont val="WenQuanYi Zen Hei"/>
        <family val="2"/>
      </rPr>
      <t xml:space="preserve">설계하기</t>
    </r>
  </si>
  <si>
    <t xml:space="preserve">앱 만들기</t>
  </si>
  <si>
    <r>
      <rPr>
        <sz val="11"/>
        <rFont val="WenQuanYi Zen Hei"/>
        <family val="2"/>
      </rPr>
      <t xml:space="preserve">마음에 안 드는 변경 하나 되돌려 보기 </t>
    </r>
    <r>
      <rPr>
        <sz val="11"/>
        <rFont val="맑은 고딕"/>
        <family val="0"/>
        <charset val="1"/>
      </rPr>
      <t xml:space="preserve">(2</t>
    </r>
    <r>
      <rPr>
        <sz val="11"/>
        <rFont val="WenQuanYi Zen Hei"/>
        <family val="2"/>
      </rPr>
      <t xml:space="preserve">단계 복습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</si>
  <si>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6</t>
    </r>
    <r>
      <rPr>
        <sz val="11"/>
        <rFont val="WenQuanYi Zen Hei"/>
        <family val="2"/>
      </rPr>
      <t xml:space="preserve">일차</t>
    </r>
  </si>
  <si>
    <t xml:space="preserve">배포</t>
  </si>
  <si>
    <r>
      <rPr>
        <sz val="11"/>
        <rFont val="맑은 고딕"/>
        <family val="0"/>
        <charset val="1"/>
      </rPr>
      <t xml:space="preserve">~56:05 (</t>
    </r>
    <r>
      <rPr>
        <sz val="11"/>
        <rFont val="WenQuanYi Zen Hei"/>
        <family val="2"/>
      </rPr>
      <t xml:space="preserve">약 </t>
    </r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</si>
  <si>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배포 부분</t>
    </r>
  </si>
  <si>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일차 앱을 배포하고 휴대폰으로 열어 보기</t>
    </r>
  </si>
  <si>
    <r>
      <rPr>
        <sz val="11"/>
        <rFont val="WenQuanYi Zen Hei"/>
        <family val="2"/>
      </rPr>
      <t xml:space="preserve">바뀐 내용을 커밋하고 </t>
    </r>
    <r>
      <rPr>
        <sz val="11"/>
        <rFont val="맑은 고딕"/>
        <family val="0"/>
        <charset val="1"/>
      </rPr>
      <t xml:space="preserve">GitHub</t>
    </r>
    <r>
      <rPr>
        <sz val="11"/>
        <rFont val="WenQuanYi Zen Hei"/>
        <family val="2"/>
      </rPr>
      <t xml:space="preserve">에 푸시하기</t>
    </r>
  </si>
  <si>
    <r>
      <rPr>
        <sz val="11"/>
        <rFont val="맑은 고딕"/>
        <family val="0"/>
        <charset val="1"/>
      </rPr>
      <t xml:space="preserve">7</t>
    </r>
    <r>
      <rPr>
        <sz val="11"/>
        <rFont val="WenQuanYi Zen Hei"/>
        <family val="2"/>
      </rPr>
      <t xml:space="preserve">일차</t>
    </r>
  </si>
  <si>
    <r>
      <rPr>
        <sz val="11"/>
        <rFont val="맑은 고딕"/>
        <family val="0"/>
        <charset val="1"/>
      </rPr>
      <t xml:space="preserve">7</t>
    </r>
    <r>
      <rPr>
        <sz val="11"/>
        <rFont val="WenQuanYi Zen Hei"/>
        <family val="2"/>
      </rPr>
      <t xml:space="preserve">단계</t>
    </r>
    <r>
      <rPr>
        <sz val="11"/>
        <rFont val="맑은 고딕"/>
        <family val="0"/>
        <charset val="1"/>
      </rPr>
      <t xml:space="preserve">+</t>
    </r>
    <r>
      <rPr>
        <sz val="11"/>
        <rFont val="WenQuanYi Zen Hei"/>
        <family val="2"/>
      </rPr>
      <t xml:space="preserve">정리</t>
    </r>
  </si>
  <si>
    <r>
      <rPr>
        <sz val="11"/>
        <rFont val="WenQuanYi Zen Hei"/>
        <family val="2"/>
      </rPr>
      <t xml:space="preserve">원격 조종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예약 자동화</t>
    </r>
  </si>
  <si>
    <r>
      <rPr>
        <sz val="11"/>
        <rFont val="맑은 고딕"/>
        <family val="0"/>
        <charset val="1"/>
      </rPr>
      <t xml:space="preserve">56:05~</t>
    </r>
    <r>
      <rPr>
        <sz val="11"/>
        <rFont val="WenQuanYi Zen Hei"/>
        <family val="2"/>
      </rPr>
      <t xml:space="preserve">끝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약 </t>
    </r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분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</si>
  <si>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영상 보기</t>
    </r>
    <r>
      <rPr>
        <sz val="11"/>
        <rFont val="맑은 고딕"/>
        <family val="0"/>
        <charset val="1"/>
      </rPr>
      <t xml:space="preserve">: 7</t>
    </r>
    <r>
      <rPr>
        <sz val="11"/>
        <rFont val="WenQuanYi Zen Hei"/>
        <family val="2"/>
      </rPr>
      <t xml:space="preserve">단계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깔 것 </t>
    </r>
    <r>
      <rPr>
        <sz val="11"/>
        <rFont val="맑은 고딕"/>
        <family val="0"/>
        <charset val="1"/>
      </rPr>
      <t xml:space="preserve">24</t>
    </r>
    <r>
      <rPr>
        <sz val="11"/>
        <rFont val="WenQuanYi Zen Hei"/>
        <family val="2"/>
      </rPr>
      <t xml:space="preserve">개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마무리</t>
    </r>
    <r>
      <rPr>
        <sz val="11"/>
        <rFont val="맑은 고딕"/>
        <family val="0"/>
        <charset val="1"/>
      </rPr>
      <t xml:space="preserve">, 1</t>
    </r>
    <r>
      <rPr>
        <sz val="11"/>
        <rFont val="WenQuanYi Zen Hei"/>
        <family val="2"/>
      </rPr>
      <t xml:space="preserve">분 요약</t>
    </r>
  </si>
  <si>
    <r>
      <rPr>
        <sz val="11"/>
        <rFont val="WenQuanYi Zen Hei"/>
        <family val="2"/>
      </rPr>
      <t xml:space="preserve">예약 작업 만들기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매일 아침 오늘 공부할 것 알려 주기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</si>
  <si>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깔 것 </t>
    </r>
    <r>
      <rPr>
        <sz val="11"/>
        <rFont val="맑은 고딕"/>
        <family val="0"/>
        <charset val="1"/>
      </rPr>
      <t xml:space="preserve">24</t>
    </r>
    <r>
      <rPr>
        <sz val="11"/>
        <rFont val="WenQuanYi Zen Hei"/>
        <family val="2"/>
      </rPr>
      <t xml:space="preserve">개</t>
    </r>
    <r>
      <rPr>
        <sz val="11"/>
        <rFont val="맑은 고딕"/>
        <family val="0"/>
        <charset val="1"/>
      </rPr>
      <t xml:space="preserve">' </t>
    </r>
    <r>
      <rPr>
        <sz val="11"/>
        <rFont val="WenQuanYi Zen Hei"/>
        <family val="2"/>
      </rPr>
      <t xml:space="preserve">중 아직 안 깐 것 점검하기</t>
    </r>
  </si>
  <si>
    <r>
      <rPr>
        <sz val="11"/>
        <rFont val="WenQuanYi Zen Hei"/>
        <family val="2"/>
      </rPr>
      <t xml:space="preserve">헷갈린 부분 </t>
    </r>
    <r>
      <rPr>
        <sz val="11"/>
        <rFont val="맑은 고딕"/>
        <family val="0"/>
        <charset val="1"/>
      </rPr>
      <t xml:space="preserve">3</t>
    </r>
    <r>
      <rPr>
        <sz val="11"/>
        <rFont val="WenQuanYi Zen Hei"/>
        <family val="2"/>
      </rPr>
      <t xml:space="preserve">개 적고 해당 구간 다시 보기</t>
    </r>
  </si>
  <si>
    <t xml:space="preserve">합계</t>
  </si>
  <si>
    <t xml:space="preserve">진도 요약</t>
  </si>
  <si>
    <r>
      <rPr>
        <b val="true"/>
        <sz val="11"/>
        <color rgb="FFFFFFFF"/>
        <rFont val="WenQuanYi Zen Hei"/>
        <family val="2"/>
      </rPr>
      <t xml:space="preserve">계획 시간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</si>
  <si>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완료한 할 일</t>
  </si>
  <si>
    <t xml:space="preserve">전체 할 일</t>
  </si>
  <si>
    <t xml:space="preserve">진도율</t>
  </si>
  <si>
    <r>
      <rPr>
        <sz val="11"/>
        <rFont val="맑은 고딕"/>
        <family val="0"/>
        <charset val="1"/>
      </rPr>
      <t xml:space="preserve">3</t>
    </r>
    <r>
      <rPr>
        <sz val="11"/>
        <rFont val="WenQuanYi Zen Hei"/>
        <family val="2"/>
      </rPr>
      <t xml:space="preserve">단계 </t>
    </r>
    <r>
      <rPr>
        <sz val="11"/>
        <rFont val="맑은 고딕"/>
        <family val="0"/>
        <charset val="1"/>
      </rPr>
      <t xml:space="preserve">CLAUDE.md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</si>
  <si>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WenQuanYi Zen Hei"/>
        <family val="2"/>
      </rPr>
      <t xml:space="preserve">단계 스킬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문서 파일</t>
    </r>
  </si>
  <si>
    <r>
      <rPr>
        <sz val="11"/>
        <rFont val="맑은 고딕"/>
        <family val="0"/>
        <charset val="1"/>
      </rPr>
      <t xml:space="preserve">4</t>
    </r>
    <r>
      <rPr>
        <sz val="11"/>
        <rFont val="WenQuanYi Zen Hei"/>
        <family val="2"/>
      </rPr>
      <t xml:space="preserve">단계 커넥터</t>
    </r>
    <r>
      <rPr>
        <sz val="11"/>
        <rFont val="맑은 고딕"/>
        <family val="0"/>
        <charset val="1"/>
      </rPr>
      <t xml:space="preserve">·API·</t>
    </r>
    <r>
      <rPr>
        <sz val="11"/>
        <rFont val="WenQuanYi Zen Hei"/>
        <family val="2"/>
      </rPr>
      <t xml:space="preserve">조사</t>
    </r>
  </si>
  <si>
    <r>
      <rPr>
        <sz val="11"/>
        <rFont val="맑은 고딕"/>
        <family val="0"/>
        <charset val="1"/>
      </rPr>
      <t xml:space="preserve">5</t>
    </r>
    <r>
      <rPr>
        <sz val="11"/>
        <rFont val="WenQuanYi Zen Hei"/>
        <family val="2"/>
      </rPr>
      <t xml:space="preserve">단계 에이전트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훅</t>
    </r>
  </si>
  <si>
    <r>
      <rPr>
        <sz val="11"/>
        <rFont val="맑은 고딕"/>
        <family val="0"/>
        <charset val="1"/>
      </rPr>
      <t xml:space="preserve">6</t>
    </r>
    <r>
      <rPr>
        <sz val="11"/>
        <rFont val="WenQuanYi Zen Hei"/>
        <family val="2"/>
      </rPr>
      <t xml:space="preserve">단계 디자인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앱 만들기</t>
    </r>
  </si>
  <si>
    <r>
      <rPr>
        <sz val="11"/>
        <rFont val="맑은 고딕"/>
        <family val="0"/>
        <charset val="1"/>
      </rPr>
      <t xml:space="preserve">6</t>
    </r>
    <r>
      <rPr>
        <sz val="11"/>
        <rFont val="WenQuanYi Zen Hei"/>
        <family val="2"/>
      </rPr>
      <t xml:space="preserve">단계 배포</t>
    </r>
  </si>
  <si>
    <r>
      <rPr>
        <sz val="11"/>
        <rFont val="맑은 고딕"/>
        <family val="0"/>
        <charset val="1"/>
      </rPr>
      <t xml:space="preserve">7</t>
    </r>
    <r>
      <rPr>
        <sz val="11"/>
        <rFont val="WenQuanYi Zen Hei"/>
        <family val="2"/>
      </rPr>
      <t xml:space="preserve">단계</t>
    </r>
    <r>
      <rPr>
        <sz val="11"/>
        <rFont val="맑은 고딕"/>
        <family val="0"/>
        <charset val="1"/>
      </rPr>
      <t xml:space="preserve">+</t>
    </r>
    <r>
      <rPr>
        <sz val="11"/>
        <rFont val="WenQuanYi Zen Hei"/>
        <family val="2"/>
      </rPr>
      <t xml:space="preserve">정리 원격 조종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예약 자동화</t>
    </r>
  </si>
  <si>
    <t xml:space="preserve">전체</t>
  </si>
  <si>
    <r>
      <rPr>
        <sz val="10"/>
        <color rgb="FF5A6472"/>
        <rFont val="WenQuanYi Zen Hei"/>
        <family val="2"/>
      </rPr>
      <t xml:space="preserve">이 시트는 자동 계산돼요</t>
    </r>
    <r>
      <rPr>
        <sz val="10"/>
        <color rgb="FF5A6472"/>
        <rFont val="맑은 고딕"/>
        <family val="0"/>
        <charset val="1"/>
      </rPr>
      <t xml:space="preserve">. '</t>
    </r>
    <r>
      <rPr>
        <sz val="10"/>
        <color rgb="FF5A6472"/>
        <rFont val="WenQuanYi Zen Hei"/>
        <family val="2"/>
      </rPr>
      <t xml:space="preserve">공부계획</t>
    </r>
    <r>
      <rPr>
        <sz val="10"/>
        <color rgb="FF5A6472"/>
        <rFont val="맑은 고딕"/>
        <family val="0"/>
        <charset val="1"/>
      </rPr>
      <t xml:space="preserve">' </t>
    </r>
    <r>
      <rPr>
        <sz val="10"/>
        <color rgb="FF5A6472"/>
        <rFont val="WenQuanYi Zen Hei"/>
        <family val="2"/>
      </rPr>
      <t xml:space="preserve">시트의 완료 칸에 </t>
    </r>
    <r>
      <rPr>
        <sz val="10"/>
        <color rgb="FF5A6472"/>
        <rFont val="맑은 고딕"/>
        <family val="0"/>
        <charset val="1"/>
      </rPr>
      <t xml:space="preserve">O</t>
    </r>
    <r>
      <rPr>
        <sz val="10"/>
        <color rgb="FF5A6472"/>
        <rFont val="WenQuanYi Zen Hei"/>
        <family val="2"/>
      </rPr>
      <t xml:space="preserve">를 고르면 진도율이 올라가요</t>
    </r>
    <r>
      <rPr>
        <sz val="10"/>
        <color rgb="FF5A6472"/>
        <rFont val="맑은 고딕"/>
        <family val="0"/>
        <charset val="1"/>
      </rPr>
      <t xml:space="preserve">.</t>
    </r>
  </si>
  <si>
    <r>
      <rPr>
        <sz val="10"/>
        <color rgb="FF5A6472"/>
        <rFont val="WenQuanYi Zen Hei"/>
        <family val="2"/>
      </rPr>
      <t xml:space="preserve">할 일은 영상 챕터 제목을 보고 정한 추천이에요</t>
    </r>
    <r>
      <rPr>
        <sz val="10"/>
        <color rgb="FF5A6472"/>
        <rFont val="맑은 고딕"/>
        <family val="0"/>
        <charset val="1"/>
      </rPr>
      <t xml:space="preserve">. </t>
    </r>
    <r>
      <rPr>
        <sz val="10"/>
        <color rgb="FF5A6472"/>
        <rFont val="WenQuanYi Zen Hei"/>
        <family val="2"/>
      </rPr>
      <t xml:space="preserve">영상 내용과 다르면 영상을 따르세요</t>
    </r>
    <r>
      <rPr>
        <sz val="10"/>
        <color rgb="FF5A6472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</si>
</sst>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&quot; (&quot;AAA\)"/>
    <numFmt numFmtId="166" formatCode="mm\-dd&quot; (&quot;AAA\)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WenQuanYi Zen Hei"/>
      <family val="2"/>
    </font>
    <font>
      <b val="true"/>
      <sz val="16"/>
      <color rgb="FF1F3A5F"/>
      <name val="맑은 고딕"/>
      <family val="0"/>
      <charset val="1"/>
    </font>
    <font>
      <sz val="10"/>
      <color rgb="FF5A6472"/>
      <name val="WenQuanYi Zen Hei"/>
      <family val="2"/>
    </font>
    <font>
      <sz val="10"/>
      <color rgb="FF5A6472"/>
      <name val="맑은 고딕"/>
      <family val="0"/>
      <charset val="1"/>
    </font>
    <font>
      <b val="true"/>
      <sz val="11"/>
      <name val="WenQuanYi Zen Hei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맑은 고딕"/>
      <family val="0"/>
      <charset val="1"/>
    </font>
    <font>
      <sz val="11"/>
      <name val="맑은 고딕"/>
      <family val="0"/>
      <charset val="1"/>
    </font>
    <font>
      <sz val="11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A8"/>
        <bgColor rgb="FFDDF0E2"/>
      </patternFill>
    </fill>
    <fill>
      <patternFill patternType="solid">
        <fgColor rgb="FF1F3A5F"/>
        <bgColor rgb="FF333333"/>
      </patternFill>
    </fill>
    <fill>
      <patternFill patternType="solid">
        <fgColor rgb="FFEEF3FA"/>
        <bgColor rgb="FFDDF0E2"/>
      </patternFill>
    </fill>
    <fill>
      <patternFill patternType="solid">
        <fgColor rgb="FFFFFFFF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color rgb="FF2F7D4F"/>
      </font>
      <fill>
        <patternFill>
          <bgColor rgb="FFDDF0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0E2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1F3A5F"/>
      <rgbColor rgb="FF2F7D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5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24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46321</v>
      </c>
      <c r="D3" s="2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15" hidden="false" customHeight="true" outlineLevel="0" collapsed="false">
      <c r="A6" s="6" t="s">
        <v>13</v>
      </c>
      <c r="B6" s="7" t="n">
        <f aca="false">$B$3+0</f>
        <v>46321</v>
      </c>
      <c r="C6" s="6" t="s">
        <v>14</v>
      </c>
      <c r="D6" s="8" t="s">
        <v>15</v>
      </c>
      <c r="E6" s="8" t="s">
        <v>16</v>
      </c>
      <c r="F6" s="9" t="s">
        <v>17</v>
      </c>
      <c r="G6" s="6" t="n">
        <v>10</v>
      </c>
      <c r="H6" s="10"/>
      <c r="I6" s="11"/>
    </row>
    <row r="7" customFormat="false" ht="29.1" hidden="false" customHeight="false" outlineLevel="0" collapsed="false">
      <c r="A7" s="6"/>
      <c r="B7" s="6"/>
      <c r="C7" s="6"/>
      <c r="D7" s="6"/>
      <c r="E7" s="6"/>
      <c r="F7" s="8" t="s">
        <v>18</v>
      </c>
      <c r="G7" s="6" t="n">
        <v>10</v>
      </c>
      <c r="H7" s="10"/>
      <c r="I7" s="11"/>
    </row>
    <row r="8" customFormat="false" ht="15" hidden="false" customHeight="false" outlineLevel="0" collapsed="false">
      <c r="A8" s="6"/>
      <c r="B8" s="6"/>
      <c r="C8" s="6"/>
      <c r="D8" s="6"/>
      <c r="E8" s="6"/>
      <c r="F8" s="8" t="s">
        <v>19</v>
      </c>
      <c r="G8" s="6" t="n">
        <v>20</v>
      </c>
      <c r="H8" s="10"/>
      <c r="I8" s="11"/>
    </row>
    <row r="9" customFormat="false" ht="29.85" hidden="false" customHeight="false" outlineLevel="0" collapsed="false">
      <c r="A9" s="6"/>
      <c r="B9" s="6"/>
      <c r="C9" s="6"/>
      <c r="D9" s="6"/>
      <c r="E9" s="6"/>
      <c r="F9" s="8" t="s">
        <v>20</v>
      </c>
      <c r="G9" s="6" t="n">
        <v>20</v>
      </c>
      <c r="H9" s="10"/>
      <c r="I9" s="11"/>
    </row>
    <row r="10" customFormat="false" ht="15" hidden="false" customHeight="true" outlineLevel="0" collapsed="false">
      <c r="A10" s="12" t="s">
        <v>21</v>
      </c>
      <c r="B10" s="13" t="n">
        <f aca="false">$B$3+1</f>
        <v>46322</v>
      </c>
      <c r="C10" s="12" t="s">
        <v>14</v>
      </c>
      <c r="D10" s="14" t="s">
        <v>22</v>
      </c>
      <c r="E10" s="15" t="s">
        <v>23</v>
      </c>
      <c r="F10" s="14" t="s">
        <v>24</v>
      </c>
      <c r="G10" s="12" t="n">
        <v>10</v>
      </c>
      <c r="H10" s="10"/>
      <c r="I10" s="11"/>
    </row>
    <row r="11" customFormat="false" ht="29.85" hidden="false" customHeight="false" outlineLevel="0" collapsed="false">
      <c r="A11" s="12"/>
      <c r="B11" s="12"/>
      <c r="C11" s="12"/>
      <c r="D11" s="12"/>
      <c r="E11" s="12"/>
      <c r="F11" s="14" t="s">
        <v>25</v>
      </c>
      <c r="G11" s="12" t="n">
        <v>25</v>
      </c>
      <c r="H11" s="10"/>
      <c r="I11" s="11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5" t="s">
        <v>26</v>
      </c>
      <c r="G12" s="12" t="n">
        <v>20</v>
      </c>
      <c r="H12" s="10"/>
      <c r="I12" s="11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4" t="s">
        <v>27</v>
      </c>
      <c r="G13" s="12" t="n">
        <v>5</v>
      </c>
      <c r="H13" s="10"/>
      <c r="I13" s="11"/>
    </row>
    <row r="14" customFormat="false" ht="15" hidden="false" customHeight="true" outlineLevel="0" collapsed="false">
      <c r="A14" s="6" t="s">
        <v>28</v>
      </c>
      <c r="B14" s="7" t="n">
        <f aca="false">$B$3+2</f>
        <v>46323</v>
      </c>
      <c r="C14" s="6" t="s">
        <v>29</v>
      </c>
      <c r="D14" s="9" t="s">
        <v>30</v>
      </c>
      <c r="E14" s="8" t="s">
        <v>31</v>
      </c>
      <c r="F14" s="9" t="s">
        <v>32</v>
      </c>
      <c r="G14" s="6" t="n">
        <v>15</v>
      </c>
      <c r="H14" s="10"/>
      <c r="I14" s="11"/>
    </row>
    <row r="15" customFormat="false" ht="29.1" hidden="false" customHeight="false" outlineLevel="0" collapsed="false">
      <c r="A15" s="6"/>
      <c r="B15" s="6"/>
      <c r="C15" s="6"/>
      <c r="D15" s="6"/>
      <c r="E15" s="6"/>
      <c r="F15" s="9" t="s">
        <v>33</v>
      </c>
      <c r="G15" s="6" t="n">
        <v>20</v>
      </c>
      <c r="H15" s="10"/>
      <c r="I15" s="11"/>
    </row>
    <row r="16" customFormat="false" ht="15" hidden="false" customHeight="false" outlineLevel="0" collapsed="false">
      <c r="A16" s="6"/>
      <c r="B16" s="6"/>
      <c r="C16" s="6"/>
      <c r="D16" s="6"/>
      <c r="E16" s="6"/>
      <c r="F16" s="8" t="s">
        <v>34</v>
      </c>
      <c r="G16" s="6" t="n">
        <v>10</v>
      </c>
      <c r="H16" s="10"/>
      <c r="I16" s="11"/>
    </row>
    <row r="17" customFormat="false" ht="29.1" hidden="false" customHeight="false" outlineLevel="0" collapsed="false">
      <c r="A17" s="6"/>
      <c r="B17" s="6"/>
      <c r="C17" s="6"/>
      <c r="D17" s="6"/>
      <c r="E17" s="6"/>
      <c r="F17" s="9" t="s">
        <v>35</v>
      </c>
      <c r="G17" s="6" t="n">
        <v>15</v>
      </c>
      <c r="H17" s="10"/>
      <c r="I17" s="11"/>
    </row>
    <row r="18" customFormat="false" ht="15" hidden="false" customHeight="true" outlineLevel="0" collapsed="false">
      <c r="A18" s="12" t="s">
        <v>36</v>
      </c>
      <c r="B18" s="13" t="n">
        <f aca="false">$B$3+3</f>
        <v>46324</v>
      </c>
      <c r="C18" s="12" t="s">
        <v>37</v>
      </c>
      <c r="D18" s="14" t="s">
        <v>38</v>
      </c>
      <c r="E18" s="15" t="s">
        <v>39</v>
      </c>
      <c r="F18" s="14" t="s">
        <v>40</v>
      </c>
      <c r="G18" s="12" t="n">
        <v>10</v>
      </c>
      <c r="H18" s="10"/>
      <c r="I18" s="11"/>
    </row>
    <row r="19" customFormat="false" ht="29.85" hidden="false" customHeight="false" outlineLevel="0" collapsed="false">
      <c r="A19" s="12"/>
      <c r="B19" s="12"/>
      <c r="C19" s="12"/>
      <c r="D19" s="12"/>
      <c r="E19" s="12"/>
      <c r="F19" s="14" t="s">
        <v>41</v>
      </c>
      <c r="G19" s="12" t="n">
        <v>25</v>
      </c>
      <c r="H19" s="10"/>
      <c r="I19" s="11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4" t="s">
        <v>42</v>
      </c>
      <c r="G20" s="12" t="n">
        <v>20</v>
      </c>
      <c r="H20" s="10"/>
      <c r="I20" s="11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4" t="s">
        <v>27</v>
      </c>
      <c r="G21" s="12" t="n">
        <v>5</v>
      </c>
      <c r="H21" s="10"/>
      <c r="I21" s="11"/>
    </row>
    <row r="22" customFormat="false" ht="15" hidden="false" customHeight="true" outlineLevel="0" collapsed="false">
      <c r="A22" s="6" t="s">
        <v>43</v>
      </c>
      <c r="B22" s="7" t="n">
        <f aca="false">$B$3+4</f>
        <v>46325</v>
      </c>
      <c r="C22" s="6" t="s">
        <v>44</v>
      </c>
      <c r="D22" s="9" t="s">
        <v>45</v>
      </c>
      <c r="E22" s="8" t="s">
        <v>46</v>
      </c>
      <c r="F22" s="9" t="s">
        <v>47</v>
      </c>
      <c r="G22" s="6" t="n">
        <v>10</v>
      </c>
      <c r="H22" s="10"/>
      <c r="I22" s="11"/>
    </row>
    <row r="23" customFormat="false" ht="15" hidden="false" customHeight="false" outlineLevel="0" collapsed="false">
      <c r="A23" s="6"/>
      <c r="B23" s="6"/>
      <c r="C23" s="6"/>
      <c r="D23" s="6"/>
      <c r="E23" s="6"/>
      <c r="F23" s="9" t="s">
        <v>48</v>
      </c>
      <c r="G23" s="6" t="n">
        <v>15</v>
      </c>
      <c r="H23" s="10"/>
      <c r="I23" s="11"/>
    </row>
    <row r="24" customFormat="false" ht="15" hidden="false" customHeight="false" outlineLevel="0" collapsed="false">
      <c r="A24" s="6"/>
      <c r="B24" s="6"/>
      <c r="C24" s="6"/>
      <c r="D24" s="6"/>
      <c r="E24" s="6"/>
      <c r="F24" s="9" t="s">
        <v>49</v>
      </c>
      <c r="G24" s="6" t="n">
        <v>30</v>
      </c>
      <c r="H24" s="10"/>
      <c r="I24" s="11"/>
    </row>
    <row r="25" customFormat="false" ht="15" hidden="false" customHeight="false" outlineLevel="0" collapsed="false">
      <c r="A25" s="6"/>
      <c r="B25" s="6"/>
      <c r="C25" s="6"/>
      <c r="D25" s="6"/>
      <c r="E25" s="6"/>
      <c r="F25" s="9" t="s">
        <v>50</v>
      </c>
      <c r="G25" s="6" t="n">
        <v>5</v>
      </c>
      <c r="H25" s="10"/>
      <c r="I25" s="11"/>
    </row>
    <row r="26" customFormat="false" ht="15" hidden="false" customHeight="true" outlineLevel="0" collapsed="false">
      <c r="A26" s="12" t="s">
        <v>51</v>
      </c>
      <c r="B26" s="13" t="n">
        <f aca="false">$B$3+5</f>
        <v>46326</v>
      </c>
      <c r="C26" s="12" t="s">
        <v>44</v>
      </c>
      <c r="D26" s="14" t="s">
        <v>52</v>
      </c>
      <c r="E26" s="15" t="s">
        <v>53</v>
      </c>
      <c r="F26" s="14" t="s">
        <v>54</v>
      </c>
      <c r="G26" s="12" t="n">
        <v>10</v>
      </c>
      <c r="H26" s="10"/>
      <c r="I26" s="11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5" t="s">
        <v>55</v>
      </c>
      <c r="G27" s="12" t="n">
        <v>30</v>
      </c>
      <c r="H27" s="10"/>
      <c r="I27" s="11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4" t="s">
        <v>56</v>
      </c>
      <c r="G28" s="12" t="n">
        <v>15</v>
      </c>
      <c r="H28" s="10"/>
      <c r="I28" s="11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4" t="s">
        <v>27</v>
      </c>
      <c r="G29" s="12" t="n">
        <v>5</v>
      </c>
      <c r="H29" s="10"/>
      <c r="I29" s="11"/>
    </row>
    <row r="30" customFormat="false" ht="15" hidden="false" customHeight="true" outlineLevel="0" collapsed="false">
      <c r="A30" s="6" t="s">
        <v>57</v>
      </c>
      <c r="B30" s="7" t="n">
        <f aca="false">$B$3+6</f>
        <v>46327</v>
      </c>
      <c r="C30" s="6" t="s">
        <v>58</v>
      </c>
      <c r="D30" s="9" t="s">
        <v>59</v>
      </c>
      <c r="E30" s="8" t="s">
        <v>60</v>
      </c>
      <c r="F30" s="9" t="s">
        <v>61</v>
      </c>
      <c r="G30" s="6" t="n">
        <v>10</v>
      </c>
      <c r="H30" s="10"/>
      <c r="I30" s="11"/>
    </row>
    <row r="31" customFormat="false" ht="29.85" hidden="false" customHeight="false" outlineLevel="0" collapsed="false">
      <c r="A31" s="6"/>
      <c r="B31" s="6"/>
      <c r="C31" s="6"/>
      <c r="D31" s="6"/>
      <c r="E31" s="6"/>
      <c r="F31" s="9" t="s">
        <v>62</v>
      </c>
      <c r="G31" s="6" t="n">
        <v>20</v>
      </c>
      <c r="H31" s="10"/>
      <c r="I31" s="11"/>
    </row>
    <row r="32" customFormat="false" ht="15" hidden="false" customHeight="false" outlineLevel="0" collapsed="false">
      <c r="A32" s="6"/>
      <c r="B32" s="6"/>
      <c r="C32" s="6"/>
      <c r="D32" s="6"/>
      <c r="E32" s="6"/>
      <c r="F32" s="8" t="s">
        <v>63</v>
      </c>
      <c r="G32" s="6" t="n">
        <v>15</v>
      </c>
      <c r="H32" s="10"/>
      <c r="I32" s="11"/>
    </row>
    <row r="33" customFormat="false" ht="15" hidden="false" customHeight="false" outlineLevel="0" collapsed="false">
      <c r="A33" s="6"/>
      <c r="B33" s="6"/>
      <c r="C33" s="6"/>
      <c r="D33" s="6"/>
      <c r="E33" s="6"/>
      <c r="F33" s="9" t="s">
        <v>64</v>
      </c>
      <c r="G33" s="6" t="n">
        <v>15</v>
      </c>
      <c r="H33" s="10"/>
      <c r="I33" s="11"/>
    </row>
    <row r="34" customFormat="false" ht="15" hidden="false" customHeight="false" outlineLevel="0" collapsed="false">
      <c r="F34" s="16" t="s">
        <v>65</v>
      </c>
      <c r="G34" s="16" t="n">
        <f aca="false">SUM(G6:G33)</f>
        <v>420</v>
      </c>
      <c r="H34" s="16" t="str">
        <f aca="false">COUNTIF(H6:H33,"O")&amp;"/"&amp;COUNTA(F6:F33)</f>
        <v>0/28</v>
      </c>
    </row>
  </sheetData>
  <mergeCells count="35">
    <mergeCell ref="A6:A9"/>
    <mergeCell ref="B6:B9"/>
    <mergeCell ref="C6:C9"/>
    <mergeCell ref="D6:D9"/>
    <mergeCell ref="E6:E9"/>
    <mergeCell ref="A10:A13"/>
    <mergeCell ref="B10:B13"/>
    <mergeCell ref="C10:C13"/>
    <mergeCell ref="D10:D13"/>
    <mergeCell ref="E10:E13"/>
    <mergeCell ref="A14:A17"/>
    <mergeCell ref="B14:B17"/>
    <mergeCell ref="C14:C17"/>
    <mergeCell ref="D14:D17"/>
    <mergeCell ref="E14:E17"/>
    <mergeCell ref="A18:A21"/>
    <mergeCell ref="B18:B21"/>
    <mergeCell ref="C18:C21"/>
    <mergeCell ref="D18:D21"/>
    <mergeCell ref="E18:E21"/>
    <mergeCell ref="A22:A25"/>
    <mergeCell ref="B22:B25"/>
    <mergeCell ref="C22:C25"/>
    <mergeCell ref="D22:D25"/>
    <mergeCell ref="E22:E25"/>
    <mergeCell ref="A26:A29"/>
    <mergeCell ref="B26:B29"/>
    <mergeCell ref="C26:C29"/>
    <mergeCell ref="D26:D29"/>
    <mergeCell ref="E26:E29"/>
    <mergeCell ref="A30:A33"/>
    <mergeCell ref="B30:B33"/>
    <mergeCell ref="C30:C33"/>
    <mergeCell ref="D30:D33"/>
    <mergeCell ref="E30:E33"/>
  </mergeCells>
  <conditionalFormatting sqref="F6:H33">
    <cfRule type="expression" priority="2" aboveAverage="0" equalAverage="0" bottom="0" percent="0" rank="0" text="" dxfId="0">
      <formula>$H6="O"</formula>
    </cfRule>
  </conditionalFormatting>
  <dataValidations count="1">
    <dataValidation allowBlank="true" errorStyle="stop" operator="between" showDropDown="false" showErrorMessage="false" showInputMessage="false" sqref="H6:H33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</cols>
  <sheetData>
    <row r="1" customFormat="false" ht="19.7" hidden="false" customHeight="false" outlineLevel="0" collapsed="false">
      <c r="A1" s="1" t="s">
        <v>66</v>
      </c>
    </row>
    <row r="3" customFormat="false" ht="15" hidden="false" customHeight="false" outlineLevel="0" collapsed="false">
      <c r="A3" s="17" t="s">
        <v>4</v>
      </c>
      <c r="B3" s="17" t="s">
        <v>5</v>
      </c>
      <c r="C3" s="17" t="s">
        <v>7</v>
      </c>
      <c r="D3" s="17" t="s">
        <v>67</v>
      </c>
      <c r="E3" s="17" t="s">
        <v>68</v>
      </c>
      <c r="F3" s="17" t="s">
        <v>69</v>
      </c>
      <c r="G3" s="17" t="s">
        <v>70</v>
      </c>
    </row>
    <row r="4" customFormat="false" ht="15" hidden="false" customHeight="false" outlineLevel="0" collapsed="false">
      <c r="A4" s="18" t="s">
        <v>13</v>
      </c>
      <c r="B4" s="19" t="n">
        <f aca="false">공부계획!$B$3+0</f>
        <v>46321</v>
      </c>
      <c r="C4" s="20" t="s">
        <v>71</v>
      </c>
      <c r="D4" s="18" t="n">
        <f aca="false">SUM(공부계획!G6:G9)</f>
        <v>60</v>
      </c>
      <c r="E4" s="18" t="n">
        <f aca="false">COUNTIF(공부계획!H6:H9,"O")</f>
        <v>0</v>
      </c>
      <c r="F4" s="18" t="n">
        <f aca="false">COUNTA(공부계획!F6:F9)</f>
        <v>4</v>
      </c>
      <c r="G4" s="21" t="n">
        <f aca="false">IF(F4=0,0,E4/F4)</f>
        <v>0</v>
      </c>
    </row>
    <row r="5" customFormat="false" ht="15" hidden="false" customHeight="false" outlineLevel="0" collapsed="false">
      <c r="A5" s="18" t="s">
        <v>21</v>
      </c>
      <c r="B5" s="19" t="n">
        <f aca="false">공부계획!$B$3+1</f>
        <v>46322</v>
      </c>
      <c r="C5" s="20" t="s">
        <v>72</v>
      </c>
      <c r="D5" s="18" t="n">
        <f aca="false">SUM(공부계획!G10:G13)</f>
        <v>60</v>
      </c>
      <c r="E5" s="18" t="n">
        <f aca="false">COUNTIF(공부계획!H10:H13,"O")</f>
        <v>0</v>
      </c>
      <c r="F5" s="18" t="n">
        <f aca="false">COUNTA(공부계획!F10:F13)</f>
        <v>4</v>
      </c>
      <c r="G5" s="21" t="n">
        <f aca="false">IF(F5=0,0,E5/F5)</f>
        <v>0</v>
      </c>
    </row>
    <row r="6" customFormat="false" ht="15" hidden="false" customHeight="false" outlineLevel="0" collapsed="false">
      <c r="A6" s="18" t="s">
        <v>28</v>
      </c>
      <c r="B6" s="19" t="n">
        <f aca="false">공부계획!$B$3+2</f>
        <v>46323</v>
      </c>
      <c r="C6" s="20" t="s">
        <v>73</v>
      </c>
      <c r="D6" s="18" t="n">
        <f aca="false">SUM(공부계획!G14:G17)</f>
        <v>60</v>
      </c>
      <c r="E6" s="18" t="n">
        <f aca="false">COUNTIF(공부계획!H14:H17,"O")</f>
        <v>0</v>
      </c>
      <c r="F6" s="18" t="n">
        <f aca="false">COUNTA(공부계획!F14:F17)</f>
        <v>4</v>
      </c>
      <c r="G6" s="21" t="n">
        <f aca="false">IF(F6=0,0,E6/F6)</f>
        <v>0</v>
      </c>
    </row>
    <row r="7" customFormat="false" ht="15" hidden="false" customHeight="false" outlineLevel="0" collapsed="false">
      <c r="A7" s="18" t="s">
        <v>36</v>
      </c>
      <c r="B7" s="19" t="n">
        <f aca="false">공부계획!$B$3+3</f>
        <v>46324</v>
      </c>
      <c r="C7" s="20" t="s">
        <v>74</v>
      </c>
      <c r="D7" s="18" t="n">
        <f aca="false">SUM(공부계획!G18:G21)</f>
        <v>60</v>
      </c>
      <c r="E7" s="18" t="n">
        <f aca="false">COUNTIF(공부계획!H18:H21,"O")</f>
        <v>0</v>
      </c>
      <c r="F7" s="18" t="n">
        <f aca="false">COUNTA(공부계획!F18:F21)</f>
        <v>4</v>
      </c>
      <c r="G7" s="21" t="n">
        <f aca="false">IF(F7=0,0,E7/F7)</f>
        <v>0</v>
      </c>
    </row>
    <row r="8" customFormat="false" ht="15" hidden="false" customHeight="false" outlineLevel="0" collapsed="false">
      <c r="A8" s="18" t="s">
        <v>43</v>
      </c>
      <c r="B8" s="19" t="n">
        <f aca="false">공부계획!$B$3+4</f>
        <v>46325</v>
      </c>
      <c r="C8" s="20" t="s">
        <v>75</v>
      </c>
      <c r="D8" s="18" t="n">
        <f aca="false">SUM(공부계획!G22:G25)</f>
        <v>60</v>
      </c>
      <c r="E8" s="18" t="n">
        <f aca="false">COUNTIF(공부계획!H22:H25,"O")</f>
        <v>0</v>
      </c>
      <c r="F8" s="18" t="n">
        <f aca="false">COUNTA(공부계획!F22:F25)</f>
        <v>4</v>
      </c>
      <c r="G8" s="21" t="n">
        <f aca="false">IF(F8=0,0,E8/F8)</f>
        <v>0</v>
      </c>
    </row>
    <row r="9" customFormat="false" ht="15" hidden="false" customHeight="false" outlineLevel="0" collapsed="false">
      <c r="A9" s="18" t="s">
        <v>51</v>
      </c>
      <c r="B9" s="19" t="n">
        <f aca="false">공부계획!$B$3+5</f>
        <v>46326</v>
      </c>
      <c r="C9" s="20" t="s">
        <v>76</v>
      </c>
      <c r="D9" s="18" t="n">
        <f aca="false">SUM(공부계획!G26:G29)</f>
        <v>60</v>
      </c>
      <c r="E9" s="18" t="n">
        <f aca="false">COUNTIF(공부계획!H26:H29,"O")</f>
        <v>0</v>
      </c>
      <c r="F9" s="18" t="n">
        <f aca="false">COUNTA(공부계획!F26:F29)</f>
        <v>4</v>
      </c>
      <c r="G9" s="21" t="n">
        <f aca="false">IF(F9=0,0,E9/F9)</f>
        <v>0</v>
      </c>
    </row>
    <row r="10" customFormat="false" ht="15" hidden="false" customHeight="false" outlineLevel="0" collapsed="false">
      <c r="A10" s="18" t="s">
        <v>57</v>
      </c>
      <c r="B10" s="19" t="n">
        <f aca="false">공부계획!$B$3+6</f>
        <v>46327</v>
      </c>
      <c r="C10" s="20" t="s">
        <v>77</v>
      </c>
      <c r="D10" s="18" t="n">
        <f aca="false">SUM(공부계획!G30:G33)</f>
        <v>60</v>
      </c>
      <c r="E10" s="18" t="n">
        <f aca="false">COUNTIF(공부계획!H30:H33,"O")</f>
        <v>0</v>
      </c>
      <c r="F10" s="18" t="n">
        <f aca="false">COUNTA(공부계획!F30:F33)</f>
        <v>4</v>
      </c>
      <c r="G10" s="21" t="n">
        <f aca="false">IF(F10=0,0,E10/F10)</f>
        <v>0</v>
      </c>
    </row>
    <row r="11" customFormat="false" ht="15" hidden="false" customHeight="false" outlineLevel="0" collapsed="false">
      <c r="A11" s="16"/>
      <c r="B11" s="16"/>
      <c r="C11" s="22" t="s">
        <v>78</v>
      </c>
      <c r="D11" s="16" t="n">
        <f aca="false">SUM(D4:D10)</f>
        <v>420</v>
      </c>
      <c r="E11" s="16" t="n">
        <f aca="false">SUM(E4:E10)</f>
        <v>0</v>
      </c>
      <c r="F11" s="16" t="n">
        <f aca="false">SUM(F4:F10)</f>
        <v>28</v>
      </c>
      <c r="G11" s="23" t="n">
        <f aca="false">IF(F11=0,0,E11/F11)</f>
        <v>0</v>
      </c>
    </row>
    <row r="13" customFormat="false" ht="15" hidden="false" customHeight="false" outlineLevel="0" collapsed="false">
      <c r="A13" s="2" t="s">
        <v>79</v>
      </c>
    </row>
    <row r="14" customFormat="false" ht="15" hidden="false" customHeight="false" outlineLevel="0" collapsed="false">
      <c r="A14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2026-10-25T02:46:30Z</dcterms:created>
  <dc:creator>openpyxl</dc:creator>
  <dc:description/>
  <dc:language>en-US</dc:language>
  <cp:lastModifiedBy/>
  <dcterms:modified xsi:type="dcterms:W3CDTF">2026-10-25T02:46:30Z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